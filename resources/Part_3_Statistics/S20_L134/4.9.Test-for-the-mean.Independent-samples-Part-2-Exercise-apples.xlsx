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Dat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F10" i="3" l="1"/>
  <c r="F11" i="3"/>
  <c r="G6" i="3" l="1"/>
  <c r="F6" i="3"/>
  <c r="F9" i="3" s="1"/>
  <c r="G5" i="3"/>
  <c r="F5" i="3"/>
</calcChain>
</file>

<file path=xl/sharedStrings.xml><?xml version="1.0" encoding="utf-8"?>
<sst xmlns="http://schemas.openxmlformats.org/spreadsheetml/2006/main" count="19" uniqueCount="18">
  <si>
    <t>LA apples</t>
  </si>
  <si>
    <t>NY apples</t>
  </si>
  <si>
    <t>NY</t>
  </si>
  <si>
    <t>LA</t>
  </si>
  <si>
    <t>Apples example</t>
  </si>
  <si>
    <t>Mean</t>
  </si>
  <si>
    <t>Std. deviation</t>
  </si>
  <si>
    <t>Sample size</t>
  </si>
  <si>
    <t>Pooled variance</t>
  </si>
  <si>
    <t>Pooled std</t>
  </si>
  <si>
    <t>Testing of two means. Independent samples, variances unknown but assumed to be equal</t>
  </si>
  <si>
    <t>p-value</t>
  </si>
  <si>
    <t>T-score</t>
  </si>
  <si>
    <t>Free exercise: Is price of apples in N.Y. 20% higher than in LA?</t>
  </si>
  <si>
    <r>
      <t>H</t>
    </r>
    <r>
      <rPr>
        <b/>
        <vertAlign val="subscript"/>
        <sz val="9"/>
        <color rgb="FF002060"/>
        <rFont val="Arial"/>
        <family val="2"/>
      </rPr>
      <t>0</t>
    </r>
  </si>
  <si>
    <t>Price of apples y N.Y. is 20% higher than in L.A.</t>
  </si>
  <si>
    <t>Two sided test</t>
  </si>
  <si>
    <t>There is no statistical evidence that the price of apples in N.Y. is 20% higher than in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</si>
</sst>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2" fontId="2" fillId="2" borderId="0" xfId="0" applyNumberFormat="1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0" fontId="3" fillId="2" borderId="2" xfId="0" applyFont="1" applyFill="1" applyBorder="1"/>
    <xf numFmtId="165" fontId="2" fillId="2" borderId="0" xfId="0" applyNumberFormat="1" applyFont="1" applyFill="1"/>
    <xf numFmtId="0" fontId="3" fillId="2" borderId="0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tabSelected="1" workbookViewId="0">
      <selection activeCell="J8" sqref="J8"/>
    </sheetView>
  </sheetViews>
  <sheetFormatPr baseColWidth="10" defaultColWidth="8.85546875" defaultRowHeight="12" x14ac:dyDescent="0.2"/>
  <cols>
    <col min="1" max="1" width="2" style="1" customWidth="1"/>
    <col min="2" max="4" width="8.85546875" style="1"/>
    <col min="5" max="5" width="13.7109375" style="1" bestFit="1" customWidth="1"/>
    <col min="6" max="6" width="6.42578125" style="1" customWidth="1"/>
    <col min="7" max="7" width="6.85546875" style="1" customWidth="1"/>
    <col min="8" max="8" width="8.85546875" style="1"/>
    <col min="9" max="9" width="6.7109375" style="1" bestFit="1" customWidth="1"/>
    <col min="10" max="10" width="5.7109375" style="1" bestFit="1" customWidth="1"/>
    <col min="11" max="16384" width="8.85546875" style="1"/>
  </cols>
  <sheetData>
    <row r="1" spans="2:11" ht="15.75" x14ac:dyDescent="0.25">
      <c r="B1" s="3" t="s">
        <v>10</v>
      </c>
    </row>
    <row r="2" spans="2:11" x14ac:dyDescent="0.2">
      <c r="B2" s="2" t="s">
        <v>4</v>
      </c>
    </row>
    <row r="3" spans="2:11" x14ac:dyDescent="0.2">
      <c r="I3" s="1" t="s">
        <v>13</v>
      </c>
    </row>
    <row r="4" spans="2:11" ht="14.25" thickBot="1" x14ac:dyDescent="0.3">
      <c r="B4" s="6" t="s">
        <v>1</v>
      </c>
      <c r="C4" s="6" t="s">
        <v>0</v>
      </c>
      <c r="E4" s="6"/>
      <c r="F4" s="6" t="s">
        <v>2</v>
      </c>
      <c r="G4" s="6" t="s">
        <v>3</v>
      </c>
      <c r="I4" s="11" t="s">
        <v>14</v>
      </c>
      <c r="J4" s="1" t="s">
        <v>15</v>
      </c>
    </row>
    <row r="5" spans="2:11" x14ac:dyDescent="0.2">
      <c r="B5" s="7">
        <v>3.8</v>
      </c>
      <c r="C5" s="7">
        <v>3.02</v>
      </c>
      <c r="E5" s="2" t="s">
        <v>5</v>
      </c>
      <c r="F5" s="7">
        <f>AVERAGE(B5:B14)</f>
        <v>3.9409999999999998</v>
      </c>
      <c r="G5" s="7">
        <f>AVERAGE(C5:C12)</f>
        <v>3.2450000000000001</v>
      </c>
      <c r="J5" s="1" t="s">
        <v>16</v>
      </c>
    </row>
    <row r="6" spans="2:11" x14ac:dyDescent="0.2">
      <c r="B6" s="7">
        <v>3.76</v>
      </c>
      <c r="C6" s="7">
        <v>3.22</v>
      </c>
      <c r="E6" s="2" t="s">
        <v>6</v>
      </c>
      <c r="F6" s="7">
        <f>_xlfn.STDEV.S(B5:B14)</f>
        <v>0.18393537512458616</v>
      </c>
      <c r="G6" s="7">
        <f>_xlfn.STDEV.S(C5:C12)</f>
        <v>0.26790190102242384</v>
      </c>
      <c r="J6" s="1" t="s">
        <v>12</v>
      </c>
      <c r="K6" s="1">
        <f>(3.94-3.94*1.2)/F10</f>
        <v>-7.3975478527270875</v>
      </c>
    </row>
    <row r="7" spans="2:11" x14ac:dyDescent="0.2">
      <c r="B7" s="7">
        <v>3.87</v>
      </c>
      <c r="C7" s="7">
        <v>3.24</v>
      </c>
      <c r="E7" s="9" t="s">
        <v>7</v>
      </c>
      <c r="F7" s="4">
        <v>10</v>
      </c>
      <c r="G7" s="4">
        <v>8</v>
      </c>
    </row>
    <row r="8" spans="2:11" x14ac:dyDescent="0.2">
      <c r="B8" s="7">
        <v>3.99</v>
      </c>
      <c r="C8" s="7">
        <v>3.02</v>
      </c>
      <c r="J8" s="1" t="s">
        <v>17</v>
      </c>
    </row>
    <row r="9" spans="2:11" x14ac:dyDescent="0.2">
      <c r="B9" s="7">
        <v>4.0199999999999996</v>
      </c>
      <c r="C9" s="7">
        <v>3.06</v>
      </c>
      <c r="E9" s="2" t="s">
        <v>8</v>
      </c>
      <c r="F9" s="5">
        <f>(F6*F6*9+G6*G6*7)/16</f>
        <v>5.0430625000000007E-2</v>
      </c>
    </row>
    <row r="10" spans="2:11" x14ac:dyDescent="0.2">
      <c r="B10" s="7">
        <v>4.25</v>
      </c>
      <c r="C10" s="7">
        <v>3.15</v>
      </c>
      <c r="E10" s="2" t="s">
        <v>9</v>
      </c>
      <c r="F10" s="5">
        <f>SQRT(F9/F7+F9/G7)</f>
        <v>0.10652178474377906</v>
      </c>
    </row>
    <row r="11" spans="2:11" x14ac:dyDescent="0.2">
      <c r="B11" s="7">
        <v>4.13</v>
      </c>
      <c r="C11" s="7">
        <v>3.81</v>
      </c>
      <c r="E11" s="2" t="s">
        <v>12</v>
      </c>
      <c r="F11" s="5">
        <f>(F5-G5)/F10</f>
        <v>6.5338747531701165</v>
      </c>
      <c r="J11" s="2"/>
    </row>
    <row r="12" spans="2:11" x14ac:dyDescent="0.2">
      <c r="B12" s="7">
        <v>3.98</v>
      </c>
      <c r="C12" s="7">
        <v>3.44</v>
      </c>
      <c r="E12" s="2" t="s">
        <v>11</v>
      </c>
      <c r="F12" s="10">
        <v>0</v>
      </c>
      <c r="J12" s="2"/>
    </row>
    <row r="13" spans="2:11" x14ac:dyDescent="0.2">
      <c r="B13" s="7">
        <v>3.99</v>
      </c>
      <c r="C13" s="7"/>
    </row>
    <row r="14" spans="2:11" x14ac:dyDescent="0.2">
      <c r="B14" s="8">
        <v>3.62</v>
      </c>
      <c r="C1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2025-09-03T14:36:36Z</dcterms:modified>
</cp:coreProperties>
</file>