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\GitRepos\StatisticsBAandDS\DataScienceBootcamp\resources\Part_3_Statistics\S20_L128\"/>
    </mc:Choice>
  </mc:AlternateContent>
  <bookViews>
    <workbookView xWindow="0" yWindow="0" windowWidth="19275" windowHeight="7620"/>
  </bookViews>
  <sheets>
    <sheet name="Open rate 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  <c r="K15" i="1" l="1"/>
  <c r="K14" i="1"/>
  <c r="J16" i="1"/>
  <c r="E13" i="1" l="1"/>
  <c r="E12" i="1" l="1"/>
  <c r="E11" i="1"/>
  <c r="E16" i="1" l="1"/>
</calcChain>
</file>

<file path=xl/sharedStrings.xml><?xml version="1.0" encoding="utf-8"?>
<sst xmlns="http://schemas.openxmlformats.org/spreadsheetml/2006/main" count="35" uniqueCount="31">
  <si>
    <t>p-value</t>
  </si>
  <si>
    <t>Open rate</t>
  </si>
  <si>
    <t>Standard error</t>
  </si>
  <si>
    <t>Null hypothesis value</t>
  </si>
  <si>
    <t>Tests</t>
  </si>
  <si>
    <t>Email spying example</t>
  </si>
  <si>
    <t>T-score</t>
  </si>
  <si>
    <t>Sample mean</t>
  </si>
  <si>
    <t>Sample standard dev</t>
  </si>
  <si>
    <t>Test for the mean. Population variance unknown</t>
  </si>
  <si>
    <r>
      <t xml:space="preserve">t </t>
    </r>
    <r>
      <rPr>
        <b/>
        <vertAlign val="subscript"/>
        <sz val="9"/>
        <color rgb="FF002060"/>
        <rFont val="Arial"/>
        <family val="2"/>
      </rPr>
      <t>9, 5% significance</t>
    </r>
  </si>
  <si>
    <r>
      <t xml:space="preserve">t </t>
    </r>
    <r>
      <rPr>
        <b/>
        <vertAlign val="subscript"/>
        <sz val="9"/>
        <color rgb="FF002060"/>
        <rFont val="Arial"/>
        <family val="2"/>
      </rPr>
      <t>9, 1% significance</t>
    </r>
  </si>
  <si>
    <t>Background</t>
  </si>
  <si>
    <t>You are given the data from the lesson.</t>
  </si>
  <si>
    <t>Task 1</t>
  </si>
  <si>
    <t>What if the question was: is the competitor open rate EXACTLY 40%. What would be the decision then?</t>
  </si>
  <si>
    <t>Task 1.1</t>
  </si>
  <si>
    <t>Task 1.2</t>
  </si>
  <si>
    <t>Task 1.3</t>
  </si>
  <si>
    <t>Decision</t>
  </si>
  <si>
    <t>-</t>
  </si>
  <si>
    <t>Test at 5% significance. Comment on the decision with the appropriate statistical jargon.</t>
  </si>
  <si>
    <t>Test at 1% significance. Comment on the decision with the appropriate statistical jargon.</t>
  </si>
  <si>
    <t>Comment</t>
  </si>
  <si>
    <t>Calculate the p-value of the test. Solve 1.1 and 1.2 using the p-value</t>
  </si>
  <si>
    <t>Two-sided</t>
  </si>
  <si>
    <t>One-sided</t>
  </si>
  <si>
    <t>At 5% significance there is no enough evidence to reject that the open rate is 40%.</t>
  </si>
  <si>
    <t>At 1% significance there is no enough evidence to reject that the open rate is 40%.</t>
  </si>
  <si>
    <t xml:space="preserve">Two-sided P-value: </t>
  </si>
  <si>
    <t>since 0,608&gt;0,05 and 0,608&gt;0,01, we cannot reject that the open rate is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</si>
</sst>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b/>
      <vertAlign val="subscript"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2" xfId="0" applyFont="1" applyFill="1" applyBorder="1"/>
    <xf numFmtId="9" fontId="2" fillId="2" borderId="0" xfId="1" applyFont="1" applyFill="1"/>
    <xf numFmtId="9" fontId="2" fillId="2" borderId="2" xfId="1" applyFont="1" applyFill="1" applyBorder="1"/>
    <xf numFmtId="0" fontId="3" fillId="2" borderId="1" xfId="0" applyFont="1" applyFill="1" applyBorder="1" applyAlignment="1">
      <alignment horizontal="right"/>
    </xf>
    <xf numFmtId="10" fontId="2" fillId="2" borderId="0" xfId="1" applyNumberFormat="1" applyFont="1" applyFill="1"/>
    <xf numFmtId="0" fontId="2" fillId="2" borderId="0" xfId="0" applyFont="1" applyFill="1" applyAlignment="1">
      <alignment horizontal="center"/>
    </xf>
    <xf numFmtId="2" fontId="2" fillId="2" borderId="0" xfId="0" applyNumberFormat="1" applyFont="1" applyFill="1"/>
    <xf numFmtId="0" fontId="3" fillId="2" borderId="2" xfId="0" applyFont="1" applyFill="1" applyBorder="1"/>
    <xf numFmtId="164" fontId="2" fillId="2" borderId="2" xfId="0" applyNumberFormat="1" applyFont="1" applyFill="1" applyBorder="1"/>
    <xf numFmtId="165" fontId="2" fillId="2" borderId="0" xfId="0" applyNumberFormat="1" applyFont="1" applyFill="1"/>
    <xf numFmtId="0" fontId="2" fillId="2" borderId="0" xfId="0" applyFont="1" applyFill="1" applyBorder="1"/>
    <xf numFmtId="164" fontId="2" fillId="2" borderId="0" xfId="0" applyNumberFormat="1" applyFon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1"/>
  <sheetViews>
    <sheetView tabSelected="1" workbookViewId="0">
      <selection activeCell="L18" sqref="L18"/>
    </sheetView>
  </sheetViews>
  <sheetFormatPr baseColWidth="10" defaultColWidth="8.85546875" defaultRowHeight="12" x14ac:dyDescent="0.2"/>
  <cols>
    <col min="1" max="1" width="2" style="1" customWidth="1"/>
    <col min="2" max="2" width="10.7109375" style="1" customWidth="1"/>
    <col min="3" max="3" width="9.42578125" style="1" customWidth="1"/>
    <col min="4" max="4" width="17.85546875" style="1" bestFit="1" customWidth="1"/>
    <col min="5" max="5" width="10.85546875" style="1" bestFit="1" customWidth="1"/>
    <col min="6" max="6" width="9.140625" style="1" bestFit="1" customWidth="1"/>
    <col min="7" max="7" width="7.5703125" style="1" customWidth="1"/>
    <col min="8" max="8" width="11.7109375" style="1" bestFit="1" customWidth="1"/>
    <col min="9" max="10" width="8.85546875" style="1"/>
    <col min="11" max="11" width="7.7109375" style="1" bestFit="1" customWidth="1"/>
    <col min="12" max="12" width="8.28515625" style="1" bestFit="1" customWidth="1"/>
    <col min="13" max="16384" width="8.85546875" style="1"/>
  </cols>
  <sheetData>
    <row r="1" spans="2:13" ht="15.75" x14ac:dyDescent="0.25">
      <c r="B1" s="3" t="s">
        <v>9</v>
      </c>
    </row>
    <row r="2" spans="2:13" x14ac:dyDescent="0.2">
      <c r="B2" s="2" t="s">
        <v>5</v>
      </c>
    </row>
    <row r="3" spans="2:13" x14ac:dyDescent="0.2">
      <c r="B3" s="2"/>
    </row>
    <row r="4" spans="2:13" x14ac:dyDescent="0.2">
      <c r="B4" s="2" t="s">
        <v>12</v>
      </c>
      <c r="C4" s="1" t="s">
        <v>13</v>
      </c>
    </row>
    <row r="5" spans="2:13" x14ac:dyDescent="0.2">
      <c r="B5" s="2" t="s">
        <v>14</v>
      </c>
      <c r="C5" s="1" t="s">
        <v>15</v>
      </c>
    </row>
    <row r="6" spans="2:13" x14ac:dyDescent="0.2">
      <c r="B6" s="2"/>
      <c r="C6" s="2" t="s">
        <v>16</v>
      </c>
      <c r="D6" s="1" t="s">
        <v>21</v>
      </c>
    </row>
    <row r="7" spans="2:13" x14ac:dyDescent="0.2">
      <c r="B7" s="2"/>
      <c r="C7" s="2" t="s">
        <v>17</v>
      </c>
      <c r="D7" s="1" t="s">
        <v>22</v>
      </c>
    </row>
    <row r="8" spans="2:13" x14ac:dyDescent="0.2">
      <c r="B8" s="2"/>
      <c r="C8" s="2" t="s">
        <v>18</v>
      </c>
      <c r="D8" s="1" t="s">
        <v>24</v>
      </c>
    </row>
    <row r="10" spans="2:13" ht="12.75" thickBot="1" x14ac:dyDescent="0.25">
      <c r="B10" s="7" t="s">
        <v>1</v>
      </c>
    </row>
    <row r="11" spans="2:13" x14ac:dyDescent="0.2">
      <c r="B11" s="5">
        <v>0.26</v>
      </c>
      <c r="C11" s="13"/>
      <c r="D11" s="2" t="s">
        <v>7</v>
      </c>
      <c r="E11" s="8">
        <f>AVERAGE(B11:B20)</f>
        <v>0.37699999999999995</v>
      </c>
      <c r="H11" s="2" t="s">
        <v>4</v>
      </c>
    </row>
    <row r="12" spans="2:13" x14ac:dyDescent="0.2">
      <c r="B12" s="5">
        <v>0.23</v>
      </c>
      <c r="C12" s="13"/>
      <c r="D12" s="2" t="s">
        <v>8</v>
      </c>
      <c r="E12" s="8">
        <f>_xlfn.STDEV.S(B11:B20)</f>
        <v>0.13736002976767953</v>
      </c>
    </row>
    <row r="13" spans="2:13" ht="12.75" thickBot="1" x14ac:dyDescent="0.25">
      <c r="B13" s="5">
        <v>0.42</v>
      </c>
      <c r="C13" s="13"/>
      <c r="D13" s="2" t="s">
        <v>2</v>
      </c>
      <c r="E13" s="8">
        <f>E12/SQRT(10)</f>
        <v>4.3437055353439655E-2</v>
      </c>
      <c r="H13" s="7"/>
      <c r="I13" s="7" t="s">
        <v>26</v>
      </c>
      <c r="J13" s="7" t="s">
        <v>25</v>
      </c>
      <c r="K13" s="7" t="s">
        <v>19</v>
      </c>
      <c r="L13" s="7" t="s">
        <v>23</v>
      </c>
    </row>
    <row r="14" spans="2:13" ht="13.5" x14ac:dyDescent="0.25">
      <c r="B14" s="5">
        <v>0.49</v>
      </c>
      <c r="C14" s="13"/>
      <c r="G14" s="2" t="s">
        <v>16</v>
      </c>
      <c r="H14" s="2" t="s">
        <v>10</v>
      </c>
      <c r="I14" s="1">
        <v>1.83</v>
      </c>
      <c r="J14" s="1">
        <v>2.262</v>
      </c>
      <c r="K14" s="1" t="b">
        <f>J14&lt;ABS($E$16)</f>
        <v>0</v>
      </c>
      <c r="L14" s="1" t="s">
        <v>27</v>
      </c>
      <c r="M14" s="9"/>
    </row>
    <row r="15" spans="2:13" ht="13.5" x14ac:dyDescent="0.25">
      <c r="B15" s="5">
        <v>0.23</v>
      </c>
      <c r="C15" s="13"/>
      <c r="D15" s="2" t="s">
        <v>3</v>
      </c>
      <c r="E15" s="5">
        <v>0.4</v>
      </c>
      <c r="G15" s="2" t="s">
        <v>17</v>
      </c>
      <c r="H15" s="2" t="s">
        <v>11</v>
      </c>
      <c r="I15" s="1">
        <v>2.82</v>
      </c>
      <c r="J15" s="1">
        <v>3.25</v>
      </c>
      <c r="K15" s="1" t="b">
        <f>J15&lt;ABS($E$16)</f>
        <v>0</v>
      </c>
      <c r="L15" s="1" t="s">
        <v>28</v>
      </c>
    </row>
    <row r="16" spans="2:13" x14ac:dyDescent="0.2">
      <c r="B16" s="5">
        <v>0.59</v>
      </c>
      <c r="C16" s="13"/>
      <c r="D16" s="2" t="s">
        <v>6</v>
      </c>
      <c r="E16" s="10">
        <f>(E11-E15)/E13</f>
        <v>-0.5295018231059434</v>
      </c>
      <c r="G16" s="2"/>
      <c r="H16" s="11" t="s">
        <v>0</v>
      </c>
      <c r="I16" s="4">
        <v>0.30399999999999999</v>
      </c>
      <c r="J16" s="12">
        <f>I16*2</f>
        <v>0.60799999999999998</v>
      </c>
      <c r="K16" s="12" t="s">
        <v>20</v>
      </c>
      <c r="L16" s="12" t="s">
        <v>18</v>
      </c>
    </row>
    <row r="17" spans="2:12" x14ac:dyDescent="0.2">
      <c r="B17" s="5">
        <v>0.28999999999999998</v>
      </c>
      <c r="C17" s="13"/>
    </row>
    <row r="18" spans="2:12" x14ac:dyDescent="0.2">
      <c r="B18" s="5">
        <v>0.28999999999999998</v>
      </c>
      <c r="C18" s="13"/>
      <c r="G18" s="2" t="s">
        <v>18</v>
      </c>
      <c r="H18" s="2" t="s">
        <v>29</v>
      </c>
      <c r="J18" s="15">
        <f>J16</f>
        <v>0.60799999999999998</v>
      </c>
      <c r="L18" s="1" t="s">
        <v>30</v>
      </c>
    </row>
    <row r="19" spans="2:12" x14ac:dyDescent="0.2">
      <c r="B19" s="5">
        <v>0.56999999999999995</v>
      </c>
      <c r="C19" s="13"/>
      <c r="H19" s="2"/>
    </row>
    <row r="20" spans="2:12" x14ac:dyDescent="0.2">
      <c r="B20" s="6">
        <v>0.4</v>
      </c>
      <c r="C20" s="13"/>
    </row>
    <row r="32" spans="2:12" x14ac:dyDescent="0.2">
      <c r="J32" s="14"/>
    </row>
    <row r="33" spans="10:10" x14ac:dyDescent="0.2">
      <c r="J33" s="14"/>
    </row>
    <row r="34" spans="10:10" x14ac:dyDescent="0.2">
      <c r="J34" s="14"/>
    </row>
    <row r="35" spans="10:10" x14ac:dyDescent="0.2">
      <c r="J35" s="14"/>
    </row>
    <row r="36" spans="10:10" x14ac:dyDescent="0.2">
      <c r="J36" s="14"/>
    </row>
    <row r="37" spans="10:10" x14ac:dyDescent="0.2">
      <c r="J37" s="14"/>
    </row>
    <row r="38" spans="10:10" x14ac:dyDescent="0.2">
      <c r="J38" s="14"/>
    </row>
    <row r="39" spans="10:10" x14ac:dyDescent="0.2">
      <c r="J39" s="14"/>
    </row>
    <row r="40" spans="10:10" x14ac:dyDescent="0.2">
      <c r="J40" s="14"/>
    </row>
    <row r="41" spans="10:10" x14ac:dyDescent="0.2">
      <c r="J41" s="14"/>
    </row>
  </sheetData>
  <sortState ref="B28:I47">
    <sortCondition descending="1" ref="I4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Open rate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Garcia Rodriguez, Manuel Vicente</cp:lastModifiedBy>
  <dcterms:created xsi:type="dcterms:W3CDTF">2017-04-21T12:34:14Z</dcterms:created>
  <dcterms:modified xsi:type="dcterms:W3CDTF">2025-09-02T15:06:59Z</dcterms:modified>
</cp:coreProperties>
</file>